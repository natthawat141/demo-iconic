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cebcfbd0134c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ค่าใช้จ่าย" sheetId="1" r:id="R273295db9fb947fd"/>
    <x:sheet xmlns:r="http://schemas.openxmlformats.org/officeDocument/2006/relationships" name="Onboarding" sheetId="2" r:id="R1efa86949b9b4449"/>
    <x:sheet xmlns:r="http://schemas.openxmlformats.org/officeDocument/2006/relationships" name="โครงการ" sheetId="3" r:id="Ra4fb68f2a1b5463b"/>
    <x:sheet xmlns:r="http://schemas.openxmlformats.org/officeDocument/2006/relationships" name="Sales pipeline" sheetId="4" r:id="R3bd727afac2f4e98"/>
    <x:sheet xmlns:r="http://schemas.openxmlformats.org/officeDocument/2006/relationships" name="Dashboard" sheetId="5" r:id="Rcab227ba40474f41"/>
    <x:sheet xmlns:r="http://schemas.openxmlformats.org/officeDocument/2006/relationships" name="วิธีใช้เดโม" sheetId="6" r:id="R71f451df7b8142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5B6B82"/>
      <x:name val="Carlito"/>
    </x:font>
    <x:font>
      <x:b/>
      <x:sz val="11"/>
      <x:color rgb="FF172033"/>
      <x:name val="Carlito"/>
    </x:font>
    <x:font>
      <x:b/>
      <x:sz val="14"/>
      <x:color rgb="FF0B1F3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2FF"/>
      </x:patternFill>
    </x:fill>
    <x:fill>
      <x:patternFill patternType="solid">
        <x:fgColor rgb="FFFFFFFF"/>
      </x:patternFill>
    </x:fill>
  </x:fills>
  <x:borders count="11">
    <x:border/>
    <x:border>
      <x:left style="thin">
        <x:color rgb="FFD9E2F0"/>
      </x:left>
      <x:top style="thin">
        <x:color rgb="FFD9E2F0"/>
      </x:top>
      <x:bottom style="thin">
        <x:color rgb="FFD9E2F0"/>
      </x:bottom>
    </x:border>
    <x:border>
      <x:top style="thin">
        <x:color rgb="FFD9E2F0"/>
      </x:top>
      <x:bottom style="thin">
        <x:color rgb="FFD9E2F0"/>
      </x:bottom>
    </x:border>
    <x:border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right style="thin">
        <x:color rgb="FFD9E2F0"/>
      </x:right>
      <x:bottom style="thin">
        <x:color rgb="FFD9E2F0"/>
      </x:bottom>
    </x:border>
    <x:border>
      <x:left style="thin">
        <x:color rgb="FFD9E2F0"/>
      </x:left>
      <x:right style="thin">
        <x:color rgb="FFD9E2F0"/>
      </x:right>
      <x:bottom style="thin">
        <x:color rgb="FFD9E2F0"/>
      </x:bottom>
    </x:border>
    <x:border>
      <x:left style="thin">
        <x:color rgb="FFD9E2F0"/>
      </x:left>
      <x:bottom style="thin">
        <x:color rgb="FFD9E2F0"/>
      </x:bottom>
    </x:border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right style="thin">
        <x:color rgb="FFD9E2F0"/>
      </x:right>
      <x:top style="thin">
        <x:color rgb="FFD9E2F0"/>
      </x:top>
    </x:border>
    <x:border>
      <x:left style="thin">
        <x:color rgb="FFD9E2F0"/>
      </x:left>
      <x:right style="thin">
        <x:color rgb="FFD9E2F0"/>
      </x:right>
      <x:top style="thin">
        <x:color rgb="FFD9E2F0"/>
      </x:top>
    </x:border>
    <x:border>
      <x:left style="thin">
        <x:color rgb="FFD9E2F0"/>
      </x:left>
      <x:top style="thin">
        <x:color rgb="FFD9E2F0"/>
      </x:top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3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0" fontId="0" fillId="0" borderId="4" xfId="0" applyNumberFormat="1" applyFont="1" applyFill="1" applyBorder="1"/>
    <x:xf numFmtId="200" fontId="0" fillId="0" borderId="3" xfId="0" applyNumberFormat="1" applyFont="1" applyFill="1" applyBorder="1"/>
    <x:xf numFmtId="200" fontId="0" fillId="0" borderId="8" xfId="0" applyNumberFormat="1" applyFont="1" applyFill="1" applyBorder="1"/>
    <x:xf numFmtId="201" fontId="0" fillId="0" borderId="5" xfId="0" applyNumberFormat="1" applyFont="1" applyFill="1" applyBorder="1"/>
    <x:xf numFmtId="201" fontId="0" fillId="0" borderId="7" xfId="0" applyNumberFormat="1" applyFont="1" applyFill="1" applyBorder="1"/>
    <x:xf numFmtId="201" fontId="0" fillId="0" borderId="9" xfId="0" applyNumberFormat="1" applyFont="1" applyFill="1" applyBorder="1"/>
    <x:xf numFmtId="202" fontId="0" fillId="0" borderId="6" xfId="0" applyNumberFormat="1" applyFont="1" applyFill="1" applyBorder="1"/>
    <x:xf numFmtId="202" fontId="0" fillId="0" borderId="1" xfId="0" applyNumberFormat="1" applyFont="1" applyFill="1" applyBorder="1"/>
    <x:xf numFmtId="202" fontId="0" fillId="0" borderId="10" xfId="0" applyNumberFormat="1" applyFont="1" applyFill="1" applyBorder="1"/>
    <x:xf numFmtId="202" fontId="0" fillId="0" borderId="5" xfId="0" applyNumberFormat="1" applyFont="1" applyFill="1" applyBorder="1"/>
    <x:xf numFmtId="202" fontId="0" fillId="0" borderId="7" xfId="0" applyNumberFormat="1" applyFont="1" applyFill="1" applyBorder="1"/>
    <x:xf numFmtId="202" fontId="0" fillId="0" borderId="9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201" fontId="5" fillId="4" borderId="1" xfId="0" applyNumberFormat="1" applyFont="1" applyFill="1" applyBorder="1"/>
    <x:xf numFmtId="201" fontId="5" fillId="4" borderId="2" xfId="0" applyNumberFormat="1" applyFont="1" applyFill="1" applyBorder="1"/>
    <x:xf numFmtId="202" fontId="5" fillId="4" borderId="2" xfId="0" applyNumberFormat="1" applyFont="1" applyFill="1" applyBorder="1"/>
    <x:xf numFmtId="201" fontId="5" fillId="4" borderId="3" xfId="0" applyNumberFormat="1" applyFont="1" applyFill="1" applyBorder="1"/>
    <x:xf numFmtId="201" fontId="0" fillId="0" borderId="6" xfId="0" applyNumberFormat="1" applyFont="1" applyFill="1" applyBorder="1"/>
    <x:xf numFmtId="201" fontId="0" fillId="0" borderId="1" xfId="0" applyNumberFormat="1" applyFont="1" applyFill="1" applyBorder="1"/>
    <x:xf numFmtId="201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64f086e6ea43bb" /><Relationship Type="http://schemas.openxmlformats.org/officeDocument/2006/relationships/theme" Target="/xl/theme/theme1.xml" Id="R55e1ac7e84314d83" /><Relationship Type="http://schemas.openxmlformats.org/officeDocument/2006/relationships/sharedStrings" Target="/xl/sharedStrings.xml" Id="R3a3634c71a6a4ce2" /><Relationship Type="http://schemas.openxmlformats.org/officeDocument/2006/relationships/worksheet" Target="/xl/worksheets/sheet1.xml" Id="R273295db9fb947fd" /><Relationship Type="http://schemas.openxmlformats.org/officeDocument/2006/relationships/worksheet" Target="/xl/worksheets/sheet2.xml" Id="R1efa86949b9b4449" /><Relationship Type="http://schemas.openxmlformats.org/officeDocument/2006/relationships/worksheet" Target="/xl/worksheets/sheet3.xml" Id="Ra4fb68f2a1b5463b" /><Relationship Type="http://schemas.openxmlformats.org/officeDocument/2006/relationships/worksheet" Target="/xl/worksheets/sheet4.xml" Id="R3bd727afac2f4e98" /><Relationship Type="http://schemas.openxmlformats.org/officeDocument/2006/relationships/worksheet" Target="/xl/worksheets/sheet5.xml" Id="Rcab227ba40474f41" /><Relationship Type="http://schemas.openxmlformats.org/officeDocument/2006/relationships/worksheet" Target="/xl/worksheets/sheet6.xml" Id="R71f451df7b81422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a0073f986d0493c" /><Relationship Type="http://schemas.openxmlformats.org/officeDocument/2006/relationships/chart" Target="/xl/drawings/charts/chart2.xml" Id="Rd0024740f10243b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ยอดเบิกจ่ายเติบโตต่อเนื่อง (บาท)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ยอดเบิกจ่าย (บาท)</c:v>
          </c:tx>
          <c:marker>
            <c:symbol val="none"/>
          </c:marker>
          <c:cat>
            <c:strRef>
              <c:f>'Dashboard'!$A$9:$A$14</c:f>
              <c:strCache>
                <c:ptCount val="0"/>
              </c:strCache>
            </c:strRef>
          </c:cat>
          <c:val>
            <c:numRef>
              <c:f>'Dashboard'!$B$9:$B$14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ความคืบหน้าโครงการ (%)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ความคืบหน้า</c:v>
          </c:tx>
          <c:cat>
            <c:strRef>
              <c:f>'Dashboard'!$D$9:$D$13</c:f>
              <c:strCache>
                <c:ptCount val="0"/>
              </c:strCache>
            </c:strRef>
          </c:cat>
          <c:val>
            <c:numRef>
              <c:f>'Dashboard'!$E$9:$E$13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0073f986d0493c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16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024740f10243b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312c76d3b9dc4f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20" hidden="0" customWidth="1"/>
    <x:col min="5" max="5" width="14" hidden="0" customWidth="1"/>
    <x:col min="6" max="6" width="19" hidden="0" customWidth="1"/>
    <x:col min="7" max="7" width="15" hidden="0" customWidth="1"/>
  </x:cols>
  <x:sheetData>
    <x:row r="1">
      <x:c r="A1" s="6" t="str">
        <x:v>เดือน</x:v>
      </x:c>
      <x:c r="B1" s="7" t="str">
        <x:v>ทีม</x:v>
      </x:c>
      <x:c r="C1" s="7" t="str">
        <x:v>หมวดค่าใช้จ่าย</x:v>
      </x:c>
      <x:c r="D1" s="7" t="str">
        <x:v>ยอดเบิกจ่าย (บาท)</x:v>
      </x:c>
      <x:c r="E1" s="7" t="str">
        <x:v>จำนวนคำขอ</x:v>
      </x:c>
      <x:c r="F1" s="7" t="str">
        <x:v>งบประมาณ (บาท)</x:v>
      </x:c>
      <x:c r="G1" s="8" t="str">
        <x:v>อัตราใช้จ่าย</x:v>
      </x:c>
    </x:row>
    <x:row r="2">
      <x:c r="A2" s="18" t="n">
        <x:v>46023</x:v>
      </x:c>
      <x:c r="B2" s="10" t="str">
        <x:v>North</x:v>
      </x:c>
      <x:c r="C2" s="10" t="str">
        <x:v>ค่าเดินทาง</x:v>
      </x:c>
      <x:c r="D2" s="21" t="n">
        <x:v>118000</x:v>
      </x:c>
      <x:c r="E2" s="10" t="n">
        <x:v>26</x:v>
      </x:c>
      <x:c r="F2" s="21" t="n">
        <x:v>150000</x:v>
      </x:c>
      <x:c r="G2" s="24" t="n">
        <x:f>D2/F2</x:f>
        <x:v>0.7866666666666666</x:v>
      </x:c>
    </x:row>
    <x:row r="3">
      <x:c r="A3" s="19" t="n">
        <x:v>46023</x:v>
      </x:c>
      <x:c r="B3" s="13" t="str">
        <x:v>Central</x:v>
      </x:c>
      <x:c r="C3" s="13" t="str">
        <x:v>พบลูกค้า</x:v>
      </x:c>
      <x:c r="D3" s="22" t="n">
        <x:v>162000</x:v>
      </x:c>
      <x:c r="E3" s="13" t="n">
        <x:v>34</x:v>
      </x:c>
      <x:c r="F3" s="22" t="n">
        <x:v>200000</x:v>
      </x:c>
      <x:c r="G3" s="25" t="n">
        <x:f>D3/F3</x:f>
        <x:v>0.81</x:v>
      </x:c>
    </x:row>
    <x:row r="4">
      <x:c r="A4" s="19" t="n">
        <x:v>46023</x:v>
      </x:c>
      <x:c r="B4" s="13" t="str">
        <x:v>South</x:v>
      </x:c>
      <x:c r="C4" s="13" t="str">
        <x:v>เครื่องมือทีม</x:v>
      </x:c>
      <x:c r="D4" s="22" t="n">
        <x:v>76000</x:v>
      </x:c>
      <x:c r="E4" s="13" t="n">
        <x:v>18</x:v>
      </x:c>
      <x:c r="F4" s="22" t="n">
        <x:v>100000</x:v>
      </x:c>
      <x:c r="G4" s="25" t="n">
        <x:f>D4/F4</x:f>
        <x:v>0.76</x:v>
      </x:c>
    </x:row>
    <x:row r="5">
      <x:c r="A5" s="19" t="n">
        <x:v>46054</x:v>
      </x:c>
      <x:c r="B5" s="13" t="str">
        <x:v>North</x:v>
      </x:c>
      <x:c r="C5" s="13" t="str">
        <x:v>ค่าเดินทาง</x:v>
      </x:c>
      <x:c r="D5" s="22" t="n">
        <x:v>126000</x:v>
      </x:c>
      <x:c r="E5" s="13" t="n">
        <x:v>28</x:v>
      </x:c>
      <x:c r="F5" s="22" t="n">
        <x:v>150000</x:v>
      </x:c>
      <x:c r="G5" s="25" t="n">
        <x:f>D5/F5</x:f>
        <x:v>0.84</x:v>
      </x:c>
    </x:row>
    <x:row r="6">
      <x:c r="A6" s="19" t="n">
        <x:v>46054</x:v>
      </x:c>
      <x:c r="B6" s="13" t="str">
        <x:v>Central</x:v>
      </x:c>
      <x:c r="C6" s="13" t="str">
        <x:v>พบลูกค้า</x:v>
      </x:c>
      <x:c r="D6" s="22" t="n">
        <x:v>181000</x:v>
      </x:c>
      <x:c r="E6" s="13" t="n">
        <x:v>37</x:v>
      </x:c>
      <x:c r="F6" s="22" t="n">
        <x:v>210000</x:v>
      </x:c>
      <x:c r="G6" s="25" t="n">
        <x:f>D6/F6</x:f>
        <x:v>0.861904761904762</x:v>
      </x:c>
    </x:row>
    <x:row r="7">
      <x:c r="A7" s="19" t="n">
        <x:v>46054</x:v>
      </x:c>
      <x:c r="B7" s="13" t="str">
        <x:v>South</x:v>
      </x:c>
      <x:c r="C7" s="13" t="str">
        <x:v>เครื่องมือทีม</x:v>
      </x:c>
      <x:c r="D7" s="22" t="n">
        <x:v>82000</x:v>
      </x:c>
      <x:c r="E7" s="13" t="n">
        <x:v>20</x:v>
      </x:c>
      <x:c r="F7" s="22" t="n">
        <x:v>100000</x:v>
      </x:c>
      <x:c r="G7" s="25" t="n">
        <x:f>D7/F7</x:f>
        <x:v>0.82</x:v>
      </x:c>
    </x:row>
    <x:row r="8">
      <x:c r="A8" s="19" t="n">
        <x:v>46082</x:v>
      </x:c>
      <x:c r="B8" s="13" t="str">
        <x:v>North</x:v>
      </x:c>
      <x:c r="C8" s="13" t="str">
        <x:v>ค่าเดินทาง</x:v>
      </x:c>
      <x:c r="D8" s="22" t="n">
        <x:v>143000</x:v>
      </x:c>
      <x:c r="E8" s="13" t="n">
        <x:v>31</x:v>
      </x:c>
      <x:c r="F8" s="22" t="n">
        <x:v>165000</x:v>
      </x:c>
      <x:c r="G8" s="25" t="n">
        <x:f>D8/F8</x:f>
        <x:v>0.8666666666666667</x:v>
      </x:c>
    </x:row>
    <x:row r="9">
      <x:c r="A9" s="19" t="n">
        <x:v>46082</x:v>
      </x:c>
      <x:c r="B9" s="13" t="str">
        <x:v>Central</x:v>
      </x:c>
      <x:c r="C9" s="13" t="str">
        <x:v>พบลูกค้า</x:v>
      </x:c>
      <x:c r="D9" s="22" t="n">
        <x:v>196000</x:v>
      </x:c>
      <x:c r="E9" s="13" t="n">
        <x:v>39</x:v>
      </x:c>
      <x:c r="F9" s="22" t="n">
        <x:v>215000</x:v>
      </x:c>
      <x:c r="G9" s="25" t="n">
        <x:f>D9/F9</x:f>
        <x:v>0.9116279069767442</x:v>
      </x:c>
    </x:row>
    <x:row r="10">
      <x:c r="A10" s="19" t="n">
        <x:v>46082</x:v>
      </x:c>
      <x:c r="B10" s="13" t="str">
        <x:v>South</x:v>
      </x:c>
      <x:c r="C10" s="13" t="str">
        <x:v>เครื่องมือทีม</x:v>
      </x:c>
      <x:c r="D10" s="22" t="n">
        <x:v>91000</x:v>
      </x:c>
      <x:c r="E10" s="13" t="n">
        <x:v>22</x:v>
      </x:c>
      <x:c r="F10" s="22" t="n">
        <x:v>110000</x:v>
      </x:c>
      <x:c r="G10" s="25" t="n">
        <x:f>D10/F10</x:f>
        <x:v>0.8272727272727273</x:v>
      </x:c>
    </x:row>
    <x:row r="11">
      <x:c r="A11" s="19" t="n">
        <x:v>46113</x:v>
      </x:c>
      <x:c r="B11" s="13" t="str">
        <x:v>North</x:v>
      </x:c>
      <x:c r="C11" s="13" t="str">
        <x:v>ค่าเดินทาง</x:v>
      </x:c>
      <x:c r="D11" s="22" t="n">
        <x:v>137000</x:v>
      </x:c>
      <x:c r="E11" s="13" t="n">
        <x:v>29</x:v>
      </x:c>
      <x:c r="F11" s="22" t="n">
        <x:v>165000</x:v>
      </x:c>
      <x:c r="G11" s="25" t="n">
        <x:f>D11/F11</x:f>
        <x:v>0.8303030303030303</x:v>
      </x:c>
    </x:row>
    <x:row r="12">
      <x:c r="A12" s="19" t="n">
        <x:v>46113</x:v>
      </x:c>
      <x:c r="B12" s="13" t="str">
        <x:v>Central</x:v>
      </x:c>
      <x:c r="C12" s="13" t="str">
        <x:v>พบลูกค้า</x:v>
      </x:c>
      <x:c r="D12" s="22" t="n">
        <x:v>214000</x:v>
      </x:c>
      <x:c r="E12" s="13" t="n">
        <x:v>44</x:v>
      </x:c>
      <x:c r="F12" s="22" t="n">
        <x:v>225000</x:v>
      </x:c>
      <x:c r="G12" s="25" t="n">
        <x:f>D12/F12</x:f>
        <x:v>0.9511111111111111</x:v>
      </x:c>
    </x:row>
    <x:row r="13">
      <x:c r="A13" s="19" t="n">
        <x:v>46113</x:v>
      </x:c>
      <x:c r="B13" s="13" t="str">
        <x:v>South</x:v>
      </x:c>
      <x:c r="C13" s="13" t="str">
        <x:v>เครื่องมือทีม</x:v>
      </x:c>
      <x:c r="D13" s="22" t="n">
        <x:v>96000</x:v>
      </x:c>
      <x:c r="E13" s="13" t="n">
        <x:v>23</x:v>
      </x:c>
      <x:c r="F13" s="22" t="n">
        <x:v>110000</x:v>
      </x:c>
      <x:c r="G13" s="25" t="n">
        <x:f>D13/F13</x:f>
        <x:v>0.8727272727272727</x:v>
      </x:c>
    </x:row>
    <x:row r="14">
      <x:c r="A14" s="19" t="n">
        <x:v>46143</x:v>
      </x:c>
      <x:c r="B14" s="13" t="str">
        <x:v>North</x:v>
      </x:c>
      <x:c r="C14" s="13" t="str">
        <x:v>ค่าเดินทาง</x:v>
      </x:c>
      <x:c r="D14" s="22" t="n">
        <x:v>154000</x:v>
      </x:c>
      <x:c r="E14" s="13" t="n">
        <x:v>34</x:v>
      </x:c>
      <x:c r="F14" s="22" t="n">
        <x:v>170000</x:v>
      </x:c>
      <x:c r="G14" s="25" t="n">
        <x:f>D14/F14</x:f>
        <x:v>0.9058823529411765</x:v>
      </x:c>
    </x:row>
    <x:row r="15">
      <x:c r="A15" s="19" t="n">
        <x:v>46143</x:v>
      </x:c>
      <x:c r="B15" s="13" t="str">
        <x:v>Central</x:v>
      </x:c>
      <x:c r="C15" s="13" t="str">
        <x:v>พบลูกค้า</x:v>
      </x:c>
      <x:c r="D15" s="22" t="n">
        <x:v>223000</x:v>
      </x:c>
      <x:c r="E15" s="13" t="n">
        <x:v>46</x:v>
      </x:c>
      <x:c r="F15" s="22" t="n">
        <x:v>230000</x:v>
      </x:c>
      <x:c r="G15" s="25" t="n">
        <x:f>D15/F15</x:f>
        <x:v>0.9695652173913043</x:v>
      </x:c>
    </x:row>
    <x:row r="16">
      <x:c r="A16" s="19" t="n">
        <x:v>46143</x:v>
      </x:c>
      <x:c r="B16" s="13" t="str">
        <x:v>South</x:v>
      </x:c>
      <x:c r="C16" s="13" t="str">
        <x:v>เครื่องมือทีม</x:v>
      </x:c>
      <x:c r="D16" s="22" t="n">
        <x:v>101000</x:v>
      </x:c>
      <x:c r="E16" s="13" t="n">
        <x:v>24</x:v>
      </x:c>
      <x:c r="F16" s="22" t="n">
        <x:v>115000</x:v>
      </x:c>
      <x:c r="G16" s="25" t="n">
        <x:f>D16/F16</x:f>
        <x:v>0.8782608695652174</x:v>
      </x:c>
    </x:row>
    <x:row r="17">
      <x:c r="A17" s="19" t="n">
        <x:v>46174</x:v>
      </x:c>
      <x:c r="B17" s="13" t="str">
        <x:v>North</x:v>
      </x:c>
      <x:c r="C17" s="13" t="str">
        <x:v>ค่าเดินทาง</x:v>
      </x:c>
      <x:c r="D17" s="22" t="n">
        <x:v>169000</x:v>
      </x:c>
      <x:c r="E17" s="13" t="n">
        <x:v>36</x:v>
      </x:c>
      <x:c r="F17" s="22" t="n">
        <x:v>175000</x:v>
      </x:c>
      <x:c r="G17" s="25" t="n">
        <x:f>D17/F17</x:f>
        <x:v>0.9657142857142857</x:v>
      </x:c>
    </x:row>
    <x:row r="18">
      <x:c r="A18" s="19" t="n">
        <x:v>46174</x:v>
      </x:c>
      <x:c r="B18" s="13" t="str">
        <x:v>Central</x:v>
      </x:c>
      <x:c r="C18" s="13" t="str">
        <x:v>พบลูกค้า</x:v>
      </x:c>
      <x:c r="D18" s="22" t="n">
        <x:v>238000</x:v>
      </x:c>
      <x:c r="E18" s="13" t="n">
        <x:v>49</x:v>
      </x:c>
      <x:c r="F18" s="22" t="n">
        <x:v>240000</x:v>
      </x:c>
      <x:c r="G18" s="25" t="n">
        <x:f>D18/F18</x:f>
        <x:v>0.9916666666666667</x:v>
      </x:c>
    </x:row>
    <x:row r="19">
      <x:c r="A19" s="20" t="n">
        <x:v>46174</x:v>
      </x:c>
      <x:c r="B19" s="16" t="str">
        <x:v>South</x:v>
      </x:c>
      <x:c r="C19" s="16" t="str">
        <x:v>เครื่องมือทีม</x:v>
      </x:c>
      <x:c r="D19" s="23" t="n">
        <x:v>108000</x:v>
      </x:c>
      <x:c r="E19" s="16" t="n">
        <x:v>26</x:v>
      </x:c>
      <x:c r="F19" s="23" t="n">
        <x:v>120000</x:v>
      </x:c>
      <x:c r="G19" s="26" t="n">
        <x:f>D19/F19</x:f>
        <x:v>0.9</x:v>
      </x:c>
    </x:row>
  </x:sheetData>
  <x:conditionalFormatting sqref="G2:G19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23" hidden="0" customWidth="1"/>
    <x:col min="5" max="5" width="22" hidden="0" customWidth="1"/>
    <x:col min="6" max="6" width="16" hidden="0" customWidth="1"/>
  </x:cols>
  <x:sheetData>
    <x:row r="1">
      <x:c r="A1" s="6" t="str">
        <x:v>ทีม</x:v>
      </x:c>
      <x:c r="B1" s="7" t="str">
        <x:v>สถานะ</x:v>
      </x:c>
      <x:c r="C1" s="7" t="str">
        <x:v>จำนวนพนักงาน</x:v>
      </x:c>
      <x:c r="D1" s="7" t="str">
        <x:v>วันเฉลี่ยตั้งแต่เริ่มงาน</x:v>
      </x:c>
      <x:c r="E1" s="7" t="str">
        <x:v>จำนวน Buddy check-in</x:v>
      </x:c>
      <x:c r="F1" s="8" t="str">
        <x:v>อัตราจบแผน</x:v>
      </x:c>
    </x:row>
    <x:row r="2">
      <x:c r="A2" s="9" t="str">
        <x:v>Sales</x:v>
      </x:c>
      <x:c r="B2" s="10" t="str">
        <x:v>เริ่มงาน</x:v>
      </x:c>
      <x:c r="C2" s="10" t="n">
        <x:v>4</x:v>
      </x:c>
      <x:c r="D2" s="10" t="n">
        <x:v>2</x:v>
      </x:c>
      <x:c r="E2" s="10" t="n">
        <x:v>1</x:v>
      </x:c>
      <x:c r="F2" s="24" t="n">
        <x:v>0.45</x:v>
      </x:c>
    </x:row>
    <x:row r="3">
      <x:c r="A3" s="12" t="str">
        <x:v>Sales</x:v>
      </x:c>
      <x:c r="B3" s="13" t="str">
        <x:v>เรียนรู้เครื่องมือ</x:v>
      </x:c>
      <x:c r="C3" s="13" t="n">
        <x:v>4</x:v>
      </x:c>
      <x:c r="D3" s="13" t="n">
        <x:v>9</x:v>
      </x:c>
      <x:c r="E3" s="13" t="n">
        <x:v>2</x:v>
      </x:c>
      <x:c r="F3" s="25" t="n">
        <x:v>0.72</x:v>
      </x:c>
    </x:row>
    <x:row r="4">
      <x:c r="A4" s="12" t="str">
        <x:v>Operations</x:v>
      </x:c>
      <x:c r="B4" s="13" t="str">
        <x:v>เริ่มงาน</x:v>
      </x:c>
      <x:c r="C4" s="13" t="n">
        <x:v>3</x:v>
      </x:c>
      <x:c r="D4" s="13" t="n">
        <x:v>3</x:v>
      </x:c>
      <x:c r="E4" s="13" t="n">
        <x:v>1</x:v>
      </x:c>
      <x:c r="F4" s="25" t="n">
        <x:v>0.52</x:v>
      </x:c>
    </x:row>
    <x:row r="5">
      <x:c r="A5" s="12" t="str">
        <x:v>Operations</x:v>
      </x:c>
      <x:c r="B5" s="13" t="str">
        <x:v>เรียนรู้เครื่องมือ</x:v>
      </x:c>
      <x:c r="C5" s="13" t="n">
        <x:v>3</x:v>
      </x:c>
      <x:c r="D5" s="13" t="n">
        <x:v>11</x:v>
      </x:c>
      <x:c r="E5" s="13" t="n">
        <x:v>2</x:v>
      </x:c>
      <x:c r="F5" s="25" t="n">
        <x:v>0.81</x:v>
      </x:c>
    </x:row>
    <x:row r="6">
      <x:c r="A6" s="12" t="str">
        <x:v>Client Care</x:v>
      </x:c>
      <x:c r="B6" s="13" t="str">
        <x:v>เริ่มงาน</x:v>
      </x:c>
      <x:c r="C6" s="13" t="n">
        <x:v>2</x:v>
      </x:c>
      <x:c r="D6" s="13" t="n">
        <x:v>2</x:v>
      </x:c>
      <x:c r="E6" s="13" t="n">
        <x:v>1</x:v>
      </x:c>
      <x:c r="F6" s="25" t="n">
        <x:v>0.48</x:v>
      </x:c>
    </x:row>
    <x:row r="7">
      <x:c r="A7" s="12" t="str">
        <x:v>Client Care</x:v>
      </x:c>
      <x:c r="B7" s="13" t="str">
        <x:v>รับงานจริง</x:v>
      </x:c>
      <x:c r="C7" s="13" t="n">
        <x:v>2</x:v>
      </x:c>
      <x:c r="D7" s="13" t="n">
        <x:v>22</x:v>
      </x:c>
      <x:c r="E7" s="13" t="n">
        <x:v>3</x:v>
      </x:c>
      <x:c r="F7" s="25" t="n">
        <x:v>0.9</x:v>
      </x:c>
    </x:row>
    <x:row r="8">
      <x:c r="A8" s="12" t="str">
        <x:v>Technology</x:v>
      </x:c>
      <x:c r="B8" s="13" t="str">
        <x:v>เรียนรู้เครื่องมือ</x:v>
      </x:c>
      <x:c r="C8" s="13" t="n">
        <x:v>3</x:v>
      </x:c>
      <x:c r="D8" s="13" t="n">
        <x:v>8</x:v>
      </x:c>
      <x:c r="E8" s="13" t="n">
        <x:v>2</x:v>
      </x:c>
      <x:c r="F8" s="25" t="n">
        <x:v>0.76</x:v>
      </x:c>
    </x:row>
    <x:row r="9">
      <x:c r="A9" s="15" t="str">
        <x:v>Technology</x:v>
      </x:c>
      <x:c r="B9" s="16" t="str">
        <x:v>รับงานจริง</x:v>
      </x:c>
      <x:c r="C9" s="16" t="n">
        <x:v>3</x:v>
      </x:c>
      <x:c r="D9" s="16" t="n">
        <x:v>24</x:v>
      </x:c>
      <x:c r="E9" s="16" t="n">
        <x:v>4</x:v>
      </x:c>
      <x:c r="F9" s="26" t="n">
        <x:v>0.87</x:v>
      </x:c>
    </x:row>
  </x:sheetData>
  <x:conditionalFormatting sqref="F2:F9">
    <x:cfRule type="dataBar" priority="1">
      <x:dataBar>
        <x:cfvo type="min"/>
        <x:cfvo type="max"/>
        <x:color rgb="FF2563EB"/>
      </x:dataBar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5" hidden="0" customWidth="1"/>
    <x:col min="3" max="3" width="14" hidden="0" customWidth="1"/>
    <x:col min="4" max="4" width="15" hidden="0" customWidth="1"/>
    <x:col min="5" max="5" width="20" hidden="0" customWidth="1"/>
    <x:col min="6" max="6" width="20" hidden="0" customWidth="1"/>
    <x:col min="7" max="7" width="13" hidden="0" customWidth="1"/>
    <x:col min="8" max="8" width="14" hidden="0" customWidth="1"/>
  </x:cols>
  <x:sheetData>
    <x:row r="1">
      <x:c r="A1" s="6" t="str">
        <x:v>รหัสโครงการ</x:v>
      </x:c>
      <x:c r="B1" s="7" t="str">
        <x:v>โครงการ</x:v>
      </x:c>
      <x:c r="C1" s="7" t="str">
        <x:v>ระยะ</x:v>
      </x:c>
      <x:c r="D1" s="7" t="str">
        <x:v>ความคืบหน้า</x:v>
      </x:c>
      <x:c r="E1" s="7" t="str">
        <x:v>งบใช้แล้ว (บาท)</x:v>
      </x:c>
      <x:c r="F1" s="7" t="str">
        <x:v>งบทั้งหมด (บาท)</x:v>
      </x:c>
      <x:c r="G1" s="7" t="str">
        <x:v>ความเสี่ยง</x:v>
      </x:c>
      <x:c r="H1" s="8" t="str">
        <x:v>งบใช้ %</x:v>
      </x:c>
    </x:row>
    <x:row r="2">
      <x:c r="A2" s="9" t="str">
        <x:v>IC-2401</x:v>
      </x:c>
      <x:c r="B2" s="10" t="str">
        <x:v>Client portal</x:v>
      </x:c>
      <x:c r="C2" s="10" t="str">
        <x:v>Build</x:v>
      </x:c>
      <x:c r="D2" s="27" t="n">
        <x:v>0.74</x:v>
      </x:c>
      <x:c r="E2" s="21" t="n">
        <x:v>1850000</x:v>
      </x:c>
      <x:c r="F2" s="21" t="n">
        <x:v>2400000</x:v>
      </x:c>
      <x:c r="G2" s="10" t="str">
        <x:v>Medium</x:v>
      </x:c>
      <x:c r="H2" s="24" t="n">
        <x:f>E2/F2</x:f>
        <x:v>0.7708333333333334</x:v>
      </x:c>
    </x:row>
    <x:row r="3">
      <x:c r="A3" s="12" t="str">
        <x:v>IC-2402</x:v>
      </x:c>
      <x:c r="B3" s="13" t="str">
        <x:v>Knowledge migration</x:v>
      </x:c>
      <x:c r="C3" s="13" t="str">
        <x:v>Pilot</x:v>
      </x:c>
      <x:c r="D3" s="28" t="n">
        <x:v>0.62</x:v>
      </x:c>
      <x:c r="E3" s="22" t="n">
        <x:v>720000</x:v>
      </x:c>
      <x:c r="F3" s="22" t="n">
        <x:v>900000</x:v>
      </x:c>
      <x:c r="G3" s="13" t="str">
        <x:v>Medium</x:v>
      </x:c>
      <x:c r="H3" s="25" t="n">
        <x:f>E3/F3</x:f>
        <x:v>0.8</x:v>
      </x:c>
    </x:row>
    <x:row r="4">
      <x:c r="A4" s="12" t="str">
        <x:v>IC-2403</x:v>
      </x:c>
      <x:c r="B4" s="13" t="str">
        <x:v>Sales enablement</x:v>
      </x:c>
      <x:c r="C4" s="13" t="str">
        <x:v>Delivery</x:v>
      </x:c>
      <x:c r="D4" s="28" t="n">
        <x:v>0.91</x:v>
      </x:c>
      <x:c r="E4" s="22" t="n">
        <x:v>1060000</x:v>
      </x:c>
      <x:c r="F4" s="22" t="n">
        <x:v>1150000</x:v>
      </x:c>
      <x:c r="G4" s="13" t="str">
        <x:v>Low</x:v>
      </x:c>
      <x:c r="H4" s="25" t="n">
        <x:f>E4/F4</x:f>
        <x:v>0.9217391304347826</x:v>
      </x:c>
    </x:row>
    <x:row r="5">
      <x:c r="A5" s="12" t="str">
        <x:v>IC-2404</x:v>
      </x:c>
      <x:c r="B5" s="13" t="str">
        <x:v>Data dashboard</x:v>
      </x:c>
      <x:c r="C5" s="13" t="str">
        <x:v>Build</x:v>
      </x:c>
      <x:c r="D5" s="28" t="n">
        <x:v>0.48</x:v>
      </x:c>
      <x:c r="E5" s="22" t="n">
        <x:v>610000</x:v>
      </x:c>
      <x:c r="F5" s="22" t="n">
        <x:v>1300000</x:v>
      </x:c>
      <x:c r="G5" s="13" t="str">
        <x:v>High</x:v>
      </x:c>
      <x:c r="H5" s="25" t="n">
        <x:f>E5/F5</x:f>
        <x:v>0.46923076923076923</x:v>
      </x:c>
    </x:row>
    <x:row r="6">
      <x:c r="A6" s="15" t="str">
        <x:v>IC-2405</x:v>
      </x:c>
      <x:c r="B6" s="16" t="str">
        <x:v>Client onboarding</x:v>
      </x:c>
      <x:c r="C6" s="16" t="str">
        <x:v>Discovery</x:v>
      </x:c>
      <x:c r="D6" s="29" t="n">
        <x:v>0.3</x:v>
      </x:c>
      <x:c r="E6" s="23" t="n">
        <x:v>260000</x:v>
      </x:c>
      <x:c r="F6" s="23" t="n">
        <x:v>850000</x:v>
      </x:c>
      <x:c r="G6" s="16" t="str">
        <x:v>Low</x:v>
      </x:c>
      <x:c r="H6" s="26" t="n">
        <x:f>E6/F6</x:f>
        <x:v>0.3058823529411765</x:v>
      </x:c>
    </x:row>
  </x:sheetData>
  <x:conditionalFormatting sqref="G2:G6">
    <x:cfRule type="containsText" dxfId="0" priority="1" operator="containsText" text="High"/>
    <x:cfRule type="containsText" dxfId="1" priority="2" operator="containsText" text="Medium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5" hidden="0" customWidth="1"/>
    <x:col min="5" max="5" width="15" hidden="0" customWidth="1"/>
    <x:col min="6" max="6" width="21" hidden="0" customWidth="1"/>
    <x:col min="7" max="7" width="15" hidden="0" customWidth="1"/>
  </x:cols>
  <x:sheetData>
    <x:row r="1">
      <x:c r="A1" s="6" t="str">
        <x:v>เดือน</x:v>
      </x:c>
      <x:c r="B1" s="7" t="str">
        <x:v>ทีม</x:v>
      </x:c>
      <x:c r="C1" s="7" t="str">
        <x:v>ช่องทาง</x:v>
      </x:c>
      <x:c r="D1" s="7" t="str">
        <x:v>ขั้นตอน</x:v>
      </x:c>
      <x:c r="E1" s="7" t="str">
        <x:v>จำนวนโอกาส</x:v>
      </x:c>
      <x:c r="F1" s="7" t="str">
        <x:v>มูลค่าโอกาส (บาท)</x:v>
      </x:c>
      <x:c r="G1" s="8" t="str">
        <x:v>จำนวนปิดได้</x:v>
      </x:c>
    </x:row>
    <x:row r="2">
      <x:c r="A2" s="18" t="n">
        <x:v>46023</x:v>
      </x:c>
      <x:c r="B2" s="10" t="str">
        <x:v>North</x:v>
      </x:c>
      <x:c r="C2" s="10" t="str">
        <x:v>Referral</x:v>
      </x:c>
      <x:c r="D2" s="10" t="str">
        <x:v>Discovery</x:v>
      </x:c>
      <x:c r="E2" s="10" t="n">
        <x:v>18</x:v>
      </x:c>
      <x:c r="F2" s="21" t="n">
        <x:v>860000</x:v>
      </x:c>
      <x:c r="G2" s="11" t="n">
        <x:v>7</x:v>
      </x:c>
    </x:row>
    <x:row r="3">
      <x:c r="A3" s="19" t="n">
        <x:v>46023</x:v>
      </x:c>
      <x:c r="B3" s="13" t="str">
        <x:v>Central</x:v>
      </x:c>
      <x:c r="C3" s="13" t="str">
        <x:v>Event</x:v>
      </x:c>
      <x:c r="D3" s="13" t="str">
        <x:v>Proposal</x:v>
      </x:c>
      <x:c r="E3" s="13" t="n">
        <x:v>12</x:v>
      </x:c>
      <x:c r="F3" s="22" t="n">
        <x:v>720000</x:v>
      </x:c>
      <x:c r="G3" s="14" t="n">
        <x:v>5</x:v>
      </x:c>
    </x:row>
    <x:row r="4">
      <x:c r="A4" s="19" t="n">
        <x:v>46054</x:v>
      </x:c>
      <x:c r="B4" s="13" t="str">
        <x:v>South</x:v>
      </x:c>
      <x:c r="C4" s="13" t="str">
        <x:v>LINE</x:v>
      </x:c>
      <x:c r="D4" s="13" t="str">
        <x:v>Discovery</x:v>
      </x:c>
      <x:c r="E4" s="13" t="n">
        <x:v>21</x:v>
      </x:c>
      <x:c r="F4" s="22" t="n">
        <x:v>940000</x:v>
      </x:c>
      <x:c r="G4" s="14" t="n">
        <x:v>8</x:v>
      </x:c>
    </x:row>
    <x:row r="5">
      <x:c r="A5" s="19" t="n">
        <x:v>46054</x:v>
      </x:c>
      <x:c r="B5" s="13" t="str">
        <x:v>Central</x:v>
      </x:c>
      <x:c r="C5" s="13" t="str">
        <x:v>Referral</x:v>
      </x:c>
      <x:c r="D5" s="13" t="str">
        <x:v>Closed</x:v>
      </x:c>
      <x:c r="E5" s="13" t="n">
        <x:v>9</x:v>
      </x:c>
      <x:c r="F5" s="22" t="n">
        <x:v>1100000</x:v>
      </x:c>
      <x:c r="G5" s="14" t="n">
        <x:v>6</x:v>
      </x:c>
    </x:row>
    <x:row r="6">
      <x:c r="A6" s="19" t="n">
        <x:v>46082</x:v>
      </x:c>
      <x:c r="B6" s="13" t="str">
        <x:v>North</x:v>
      </x:c>
      <x:c r="C6" s="13" t="str">
        <x:v>Facebook</x:v>
      </x:c>
      <x:c r="D6" s="13" t="str">
        <x:v>Proposal</x:v>
      </x:c>
      <x:c r="E6" s="13" t="n">
        <x:v>15</x:v>
      </x:c>
      <x:c r="F6" s="22" t="n">
        <x:v>780000</x:v>
      </x:c>
      <x:c r="G6" s="14" t="n">
        <x:v>4</x:v>
      </x:c>
    </x:row>
    <x:row r="7">
      <x:c r="A7" s="19" t="n">
        <x:v>46082</x:v>
      </x:c>
      <x:c r="B7" s="13" t="str">
        <x:v>Central</x:v>
      </x:c>
      <x:c r="C7" s="13" t="str">
        <x:v>Event</x:v>
      </x:c>
      <x:c r="D7" s="13" t="str">
        <x:v>Closed</x:v>
      </x:c>
      <x:c r="E7" s="13" t="n">
        <x:v>11</x:v>
      </x:c>
      <x:c r="F7" s="22" t="n">
        <x:v>1360000</x:v>
      </x:c>
      <x:c r="G7" s="14" t="n">
        <x:v>7</x:v>
      </x:c>
    </x:row>
    <x:row r="8">
      <x:c r="A8" s="19" t="n">
        <x:v>46113</x:v>
      </x:c>
      <x:c r="B8" s="13" t="str">
        <x:v>South</x:v>
      </x:c>
      <x:c r="C8" s="13" t="str">
        <x:v>LINE</x:v>
      </x:c>
      <x:c r="D8" s="13" t="str">
        <x:v>Proposal</x:v>
      </x:c>
      <x:c r="E8" s="13" t="n">
        <x:v>16</x:v>
      </x:c>
      <x:c r="F8" s="22" t="n">
        <x:v>890000</x:v>
      </x:c>
      <x:c r="G8" s="14" t="n">
        <x:v>5</x:v>
      </x:c>
    </x:row>
    <x:row r="9">
      <x:c r="A9" s="19" t="n">
        <x:v>46113</x:v>
      </x:c>
      <x:c r="B9" s="13" t="str">
        <x:v>North</x:v>
      </x:c>
      <x:c r="C9" s="13" t="str">
        <x:v>Referral</x:v>
      </x:c>
      <x:c r="D9" s="13" t="str">
        <x:v>Closed</x:v>
      </x:c>
      <x:c r="E9" s="13" t="n">
        <x:v>13</x:v>
      </x:c>
      <x:c r="F9" s="22" t="n">
        <x:v>1520000</x:v>
      </x:c>
      <x:c r="G9" s="14" t="n">
        <x:v>8</x:v>
      </x:c>
    </x:row>
    <x:row r="10">
      <x:c r="A10" s="19" t="n">
        <x:v>46143</x:v>
      </x:c>
      <x:c r="B10" s="13" t="str">
        <x:v>Central</x:v>
      </x:c>
      <x:c r="C10" s="13" t="str">
        <x:v>Referral</x:v>
      </x:c>
      <x:c r="D10" s="13" t="str">
        <x:v>Discovery</x:v>
      </x:c>
      <x:c r="E10" s="13" t="n">
        <x:v>22</x:v>
      </x:c>
      <x:c r="F10" s="22" t="n">
        <x:v>1090000</x:v>
      </x:c>
      <x:c r="G10" s="14" t="n">
        <x:v>9</x:v>
      </x:c>
    </x:row>
    <x:row r="11">
      <x:c r="A11" s="20" t="n">
        <x:v>46143</x:v>
      </x:c>
      <x:c r="B11" s="16" t="str">
        <x:v>South</x:v>
      </x:c>
      <x:c r="C11" s="16" t="str">
        <x:v>Event</x:v>
      </x:c>
      <x:c r="D11" s="16" t="str">
        <x:v>Closed</x:v>
      </x:c>
      <x:c r="E11" s="16" t="n">
        <x:v>10</x:v>
      </x:c>
      <x:c r="F11" s="23" t="n">
        <x:v>1240000</x:v>
      </x:c>
      <x:c r="G11" s="17" t="n">
        <x:v>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1" hidden="0" customWidth="1"/>
    <x:col min="5" max="5" width="18" hidden="0" customWidth="1"/>
    <x:col min="6" max="6" width="4" hidden="0" customWidth="1"/>
    <x:col min="7" max="7" width="13" hidden="0" customWidth="1"/>
    <x:col min="8" max="8" width="13" hidden="0" customWidth="1"/>
  </x:cols>
  <x:sheetData>
    <x:row r="1" ht="30" customHeight="1">
      <x:c r="A1" s="31" t="str">
        <x:v>ICONIC — Company Operations Demo Dashboard</x:v>
      </x:c>
      <x:c r="B1" s="31"/>
      <x:c r="C1" s="31"/>
      <x:c r="D1" s="31"/>
      <x:c r="E1" s="31"/>
      <x:c r="F1" s="31"/>
      <x:c r="G1" s="31"/>
      <x:c r="H1" s="31"/>
    </x:row>
    <x:row r="2">
      <x:c r="A2" s="34" t="str">
        <x:v>ข้อมูลสมมติสำหรับเดโม: ลองแก้ตัวเลขในชีตข้อมูลแล้วดู KPI และกราฟอัปเดตตาม</x:v>
      </x:c>
      <x:c r="B2" s="34"/>
      <x:c r="C2" s="34"/>
      <x:c r="D2" s="34"/>
      <x:c r="E2" s="34"/>
      <x:c r="F2" s="34"/>
      <x:c r="G2" s="34"/>
      <x:c r="H2" s="34"/>
    </x:row>
    <x:row r="4">
      <x:c r="A4" s="36" t="str">
        <x:v>ยอดเบิกจ่าย 6 เดือน</x:v>
      </x:c>
      <x:c r="B4" s="37" t="str">
        <x:v>คำขอเบิกทั้งหมด</x:v>
      </x:c>
      <x:c r="C4" s="37" t="str">
        <x:v>ความคืบหน้าโครงการเฉลี่ย</x:v>
      </x:c>
      <x:c r="D4" s="38" t="str">
        <x:v>พนักงานใน Onboarding</x:v>
      </x:c>
    </x:row>
    <x:row r="5">
      <x:c r="A5" s="44" t="n">
        <x:f>SUM('ค่าใช้จ่าย'!$D$2:$D$19)</x:f>
        <x:v>2615000</x:v>
      </x:c>
      <x:c r="B5" s="45" t="n">
        <x:f>SUM('ค่าใช้จ่าย'!$E$2:$E$19)</x:f>
        <x:v>566</x:v>
      </x:c>
      <x:c r="C5" s="46" t="n">
        <x:f>AVERAGE('โครงการ'!$D$2:$D$6)</x:f>
        <x:v>0.61</x:v>
      </x:c>
      <x:c r="D5" s="47" t="n">
        <x:f>SUM('Onboarding'!$C$2:$C$9)</x:f>
        <x:v>24</x:v>
      </x:c>
    </x:row>
    <x:row r="8">
      <x:c r="A8" s="6" t="str">
        <x:v>เดือน</x:v>
      </x:c>
      <x:c r="B8" s="8" t="str">
        <x:v>ยอดเบิกจ่าย (บาท)</x:v>
      </x:c>
      <x:c r="D8" s="6" t="str">
        <x:v>โครงการ</x:v>
      </x:c>
      <x:c r="E8" s="8" t="str">
        <x:v>ความคืบหน้า</x:v>
      </x:c>
    </x:row>
    <x:row r="9">
      <x:c r="A9" s="9" t="str">
        <x:v>ม.ค. 2026</x:v>
      </x:c>
      <x:c r="B9" s="48" t="n">
        <x:f>SUM('ค่าใช้จ่าย'!$D$2:$D$4)</x:f>
        <x:v>356000</x:v>
      </x:c>
      <x:c r="D9" s="9" t="str">
        <x:f>'โครงการ'!B2</x:f>
        <x:v>Client portal</x:v>
      </x:c>
      <x:c r="E9" s="24" t="n">
        <x:f>'โครงการ'!D2</x:f>
        <x:v>0.74</x:v>
      </x:c>
    </x:row>
    <x:row r="10">
      <x:c r="A10" s="12" t="str">
        <x:v>ก.พ. 2026</x:v>
      </x:c>
      <x:c r="B10" s="49" t="n">
        <x:f>SUM('ค่าใช้จ่าย'!$D$5:$D$7)</x:f>
        <x:v>389000</x:v>
      </x:c>
      <x:c r="D10" s="12" t="str">
        <x:f>'โครงการ'!B3</x:f>
        <x:v>Knowledge migration</x:v>
      </x:c>
      <x:c r="E10" s="25" t="n">
        <x:f>'โครงการ'!D3</x:f>
        <x:v>0.62</x:v>
      </x:c>
    </x:row>
    <x:row r="11">
      <x:c r="A11" s="12" t="str">
        <x:v>มี.ค. 2026</x:v>
      </x:c>
      <x:c r="B11" s="49" t="n">
        <x:f>SUM('ค่าใช้จ่าย'!$D$8:$D$10)</x:f>
        <x:v>430000</x:v>
      </x:c>
      <x:c r="D11" s="12" t="str">
        <x:f>'โครงการ'!B4</x:f>
        <x:v>Sales enablement</x:v>
      </x:c>
      <x:c r="E11" s="25" t="n">
        <x:f>'โครงการ'!D4</x:f>
        <x:v>0.91</x:v>
      </x:c>
    </x:row>
    <x:row r="12">
      <x:c r="A12" s="12" t="str">
        <x:v>เม.ย. 2026</x:v>
      </x:c>
      <x:c r="B12" s="49" t="n">
        <x:f>SUM('ค่าใช้จ่าย'!$D$11:$D$13)</x:f>
        <x:v>447000</x:v>
      </x:c>
      <x:c r="D12" s="12" t="str">
        <x:f>'โครงการ'!B5</x:f>
        <x:v>Data dashboard</x:v>
      </x:c>
      <x:c r="E12" s="25" t="n">
        <x:f>'โครงการ'!D5</x:f>
        <x:v>0.48</x:v>
      </x:c>
    </x:row>
    <x:row r="13">
      <x:c r="A13" s="12" t="str">
        <x:v>พ.ค. 2026</x:v>
      </x:c>
      <x:c r="B13" s="49" t="n">
        <x:f>SUM('ค่าใช้จ่าย'!$D$14:$D$16)</x:f>
        <x:v>478000</x:v>
      </x:c>
      <x:c r="D13" s="15" t="str">
        <x:f>'โครงการ'!B6</x:f>
        <x:v>Client onboarding</x:v>
      </x:c>
      <x:c r="E13" s="26" t="n">
        <x:f>'โครงการ'!D6</x:f>
        <x:v>0.3</x:v>
      </x:c>
    </x:row>
    <x:row r="14">
      <x:c r="A14" s="15" t="str">
        <x:v>มิ.ย. 2026</x:v>
      </x:c>
      <x:c r="B14" s="50" t="n">
        <x:f>SUM('ค่าใช้จ่าย'!$D$17:$D$19)</x:f>
        <x:v>515000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312c76d3b9dc4f1c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55" hidden="0" customWidth="1"/>
  </x:cols>
  <x:sheetData>
    <x:row r="1">
      <x:c r="A1" s="30" t="str">
        <x:v>ลองใช้ข้อมูลนี้ใน Nong Fah</x:v>
      </x:c>
      <x:c r="B1" s="30"/>
      <x:c r="C1" s="30"/>
      <x:c r="D1" s="30"/>
      <x:c r="E1" s="30"/>
      <x:c r="F1" s="30"/>
    </x:row>
    <x:row r="3">
      <x:c r="A3" s="6" t="str">
        <x:v>คำถามที่ลองถามหลังอัปโหลด</x:v>
      </x:c>
      <x:c r="B3" s="8" t="str">
        <x:v>สิ่งที่จะเห็น</x:v>
      </x:c>
    </x:row>
    <x:row r="4">
      <x:c r="A4" s="51" t="str">
        <x:v>ช่วยสรุปแนวโน้มค่าใช้จ่าย</x:v>
      </x:c>
      <x:c r="B4" s="52" t="str">
        <x:v>สรุปคอลัมน์ ตารางตัวอย่าง และกราฟเส้น</x:v>
      </x:c>
    </x:row>
    <x:row r="5">
      <x:c r="A5" s="53" t="str">
        <x:v>โครงการไหนมีความเสี่ยงสูง</x:v>
      </x:c>
      <x:c r="B5" s="54" t="str">
        <x:v>ข้อมูลความคืบหน้า งบ และความเสี่ยง</x:v>
      </x:c>
    </x:row>
    <x:row r="6">
      <x:c r="A6" s="53" t="str">
        <x:v>วิเคราะห์สถานะ onboarding</x:v>
      </x:c>
      <x:c r="B6" s="54" t="str">
        <x:v>สัดส่วนการจบแผนและวันเฉลี่ย</x:v>
      </x:c>
    </x:row>
    <x:row r="7">
      <x:c r="A7" s="55" t="str">
        <x:v>ช่วยเขียน SQL หรือ Python เพื่อวิเคราะห์ต่อ</x:v>
      </x:c>
      <x:c r="B7" s="56" t="str">
        <x:v>ตัวอย่างสคริปต์จากคอลัมน์จริงในไฟล์</x:v>
      </x:c>
    </x:row>
  </x:sheetData>
  <x:mergeCells>
    <x:mergeCell ref="A1:F1"/>
  </x:mergeCells>
  <x:pageMargins left="0.7" right="0.7" top="0.75" bottom="0.75" header="0.3" footer="0.3"/>
</x:worksheet>
</file>